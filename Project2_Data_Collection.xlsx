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 me" sheetId="1" state="visible" r:id="rId3"/>
    <sheet name="Source log" sheetId="2" state="visible" r:id="rId4"/>
    <sheet name="Parameters" sheetId="3" state="visible" r:id="rId5"/>
    <sheet name="Pultrusion calc" sheetId="4" state="visible" r:id="rId6"/>
    <sheet name="Capacity calc" sheetId="5" state="visible" r:id="rId7"/>
    <sheet name="Gaps" sheetId="6" state="visible" r:id="rId8"/>
    <sheet name="Sources" sheetId="7" state="visible" r:id="rId9"/>
    <sheet name="AI disclosure"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<sst xmlns="http://schemas.openxmlformats.org/spreadsheetml/2006/main" count="227" uniqueCount="193">
  <si>
    <t xml:space="preserve">Project 2 - data collection</t>
  </si>
  <si>
    <t xml:space="preserve">What this is</t>
  </si>
  <si>
    <t xml:space="preserve">All the numbers the capacity notebook uses, with where each one came from.</t>
  </si>
  <si>
    <t xml:space="preserve">Masking</t>
  </si>
  <si>
    <t xml:space="preserve">Based on real figures from an FRP plant, masked. Company, customer and employee names, prices, PO and job numbers are made up or left out. Plant figures that could identify the plant (machine count, line speed, plank length, purge settings) have been changed.</t>
  </si>
  <si>
    <t xml:space="preserve">Type column</t>
  </si>
  <si>
    <t xml:space="preserve">MEASURED (masked) = from the plant's own records, value changed</t>
  </si>
  <si>
    <t xml:space="preserve">CALCULATED = worked out from the values above, formula shown</t>
  </si>
  <si>
    <t xml:space="preserve">PUBLIC = from a published source, listed on the Sources sheet</t>
  </si>
  <si>
    <t xml:space="preserve">ASSUMPTION = my own judgement, reason given</t>
  </si>
  <si>
    <t xml:space="preserve">Sheets</t>
  </si>
  <si>
    <t xml:space="preserve">Source log - which plant records were used and how they were masked</t>
  </si>
  <si>
    <t xml:space="preserve">Parameters - the values the notebook reads</t>
  </si>
  <si>
    <t xml:space="preserve">Pultrusion calc - how minutes per plank is worked out</t>
  </si>
  <si>
    <t xml:space="preserve">Capacity calc - what the moulds and machines can make in a month</t>
  </si>
  <si>
    <t xml:space="preserve">Gaps - what is missing and what would close it</t>
  </si>
  <si>
    <t xml:space="preserve">Sources - links for the public figures</t>
  </si>
  <si>
    <t xml:space="preserve">AI disclosure - what was done by AI and what was done by me</t>
  </si>
  <si>
    <t xml:space="preserve">Plant record</t>
  </si>
  <si>
    <t xml:space="preserve">What I took from it</t>
  </si>
  <si>
    <t xml:space="preserve">How it is masked</t>
  </si>
  <si>
    <t xml:space="preserve">Where it is used</t>
  </si>
  <si>
    <t xml:space="preserve">Quotation / order register</t>
  </si>
  <si>
    <t xml:space="preserve">Order patterns - how many order lines per product line per month, item mix, typical mess in the register</t>
  </si>
  <si>
    <t xml:space="preserve">Every row rebuilt. Customers, prices, PO and job numbers made up</t>
  </si>
  <si>
    <t xml:space="preserve">o2c.db (my Order-to-Cash project) - the demand side</t>
  </si>
  <si>
    <t xml:space="preserve">Pultrusion machine capacity sheet</t>
  </si>
  <si>
    <t xml:space="preserve">Machine count, plank length, line speed, purge settings</t>
  </si>
  <si>
    <t xml:space="preserve">All values changed</t>
  </si>
  <si>
    <t xml:space="preserve">Pultrusion calc and Parameters (yellow rows)</t>
  </si>
  <si>
    <t xml:space="preserve">Production cycle-time trackers</t>
  </si>
  <si>
    <t xml:space="preserve">Planned production days by vessel size, and the way the tracker is kept</t>
  </si>
  <si>
    <t xml:space="preserve">Only used to set how long a vessel holds a mould; no dates or customers kept</t>
  </si>
  <si>
    <t xml:space="preserve">Production_Tracker_RAW.xlsx - vessel mould days</t>
  </si>
  <si>
    <t xml:space="preserve">Key</t>
  </si>
  <si>
    <t xml:space="preserve">Value</t>
  </si>
  <si>
    <t xml:space="preserve">Unit</t>
  </si>
  <si>
    <t xml:space="preserve">Type</t>
  </si>
  <si>
    <t xml:space="preserve">Source / note</t>
  </si>
  <si>
    <t xml:space="preserve">hours_per_shift</t>
  </si>
  <si>
    <t xml:space="preserve">hours</t>
  </si>
  <si>
    <t xml:space="preserve">PUBLIC</t>
  </si>
  <si>
    <t xml:space="preserve">Factories Act 1948 - 8 hour day, 48 hour week</t>
  </si>
  <si>
    <t xml:space="preserve">shifts_per_day</t>
  </si>
  <si>
    <t xml:space="preserve">shifts</t>
  </si>
  <si>
    <t xml:space="preserve">ASSUMPTION</t>
  </si>
  <si>
    <t xml:space="preserve">One general shift</t>
  </si>
  <si>
    <t xml:space="preserve">working_days_per_month</t>
  </si>
  <si>
    <t xml:space="preserve">days</t>
  </si>
  <si>
    <t xml:space="preserve">300 working days a year / 12 (DC-MSME project profile for an FRP unit)</t>
  </si>
  <si>
    <t xml:space="preserve">effective_time</t>
  </si>
  <si>
    <t xml:space="preserve">fraction</t>
  </si>
  <si>
    <t xml:space="preserve">US Dept of Labor Fact Sheet 39D - allowance at least 15% (9-10 min per hour)</t>
  </si>
  <si>
    <t xml:space="preserve">absence_benchmark</t>
  </si>
  <si>
    <t xml:space="preserve">Adhvaryu et al. 2024 - 11% average daily absence, Indian manufacturing</t>
  </si>
  <si>
    <t xml:space="preserve">vessel_moulds</t>
  </si>
  <si>
    <t xml:space="preserve">moulds</t>
  </si>
  <si>
    <t xml:space="preserve">Indicative - real count not used</t>
  </si>
  <si>
    <t xml:space="preserve">vessel_crew_per_mould</t>
  </si>
  <si>
    <t xml:space="preserve">people</t>
  </si>
  <si>
    <t xml:space="preserve">15 people in the vessel dept / 5 moulds</t>
  </si>
  <si>
    <t xml:space="preserve">grating_moulds</t>
  </si>
  <si>
    <t xml:space="preserve">grating_cycle_hours</t>
  </si>
  <si>
    <t xml:space="preserve">hours per panel</t>
  </si>
  <si>
    <t xml:space="preserve">Moulded grating machine listing (Jiubo Composites), about 2 h per panel incl. cure</t>
  </si>
  <si>
    <t xml:space="preserve">grating_panel_m2</t>
  </si>
  <si>
    <t xml:space="preserve">m2</t>
  </si>
  <si>
    <t xml:space="preserve">Standard 3660 x 1220 mm panel</t>
  </si>
  <si>
    <t xml:space="preserve">stair_tread_m2</t>
  </si>
  <si>
    <t xml:space="preserve">One tread is cut from a quarter panel</t>
  </si>
  <si>
    <t xml:space="preserve">pultrusion_machines</t>
  </si>
  <si>
    <t xml:space="preserve">machines</t>
  </si>
  <si>
    <t xml:space="preserve">MEASURED (masked)</t>
  </si>
  <si>
    <t xml:space="preserve">Plant capacity sheet - count changed</t>
  </si>
  <si>
    <t xml:space="preserve">pultrusion_people</t>
  </si>
  <si>
    <t xml:space="preserve">1 per machine + 4 shared for cutting, material and QC</t>
  </si>
  <si>
    <t xml:space="preserve">pultrusion_min_per_plank</t>
  </si>
  <si>
    <t xml:space="preserve">minutes</t>
  </si>
  <si>
    <t xml:space="preserve">CALCULATED</t>
  </si>
  <si>
    <t xml:space="preserve">From the Pultrusion calc sheet (masked inputs), rounded</t>
  </si>
  <si>
    <t xml:space="preserve">pultrusion_plank_m</t>
  </si>
  <si>
    <t xml:space="preserve">m</t>
  </si>
  <si>
    <t xml:space="preserve">Plank length changed. One ladder stringer = one plank</t>
  </si>
  <si>
    <t xml:space="preserve">overtime_cap_hours_per_quarter</t>
  </si>
  <si>
    <t xml:space="preserve">Factories Act s.64 - CHECK against the new labour code</t>
  </si>
  <si>
    <t xml:space="preserve">yellow = from plant records, masked</t>
  </si>
  <si>
    <t xml:space="preserve">Input</t>
  </si>
  <si>
    <t xml:space="preserve">Note</t>
  </si>
  <si>
    <t xml:space="preserve">Pulling speed</t>
  </si>
  <si>
    <t xml:space="preserve">mm/min</t>
  </si>
  <si>
    <t xml:space="preserve">from our capacity sheet, masked</t>
  </si>
  <si>
    <t xml:space="preserve">Plank length</t>
  </si>
  <si>
    <t xml:space="preserve">mm</t>
  </si>
  <si>
    <t xml:space="preserve">masked</t>
  </si>
  <si>
    <t xml:space="preserve">Purge on time</t>
  </si>
  <si>
    <t xml:space="preserve">min</t>
  </si>
  <si>
    <t xml:space="preserve">line pulls this long between purges, masked</t>
  </si>
  <si>
    <t xml:space="preserve">Purge off time</t>
  </si>
  <si>
    <t xml:space="preserve">sec</t>
  </si>
  <si>
    <t xml:space="preserve">stop for each purge, masked</t>
  </si>
  <si>
    <t xml:space="preserve">Hours per shift</t>
  </si>
  <si>
    <t xml:space="preserve">h</t>
  </si>
  <si>
    <t xml:space="preserve">Calculation</t>
  </si>
  <si>
    <t xml:space="preserve">Result</t>
  </si>
  <si>
    <t xml:space="preserve">Formula</t>
  </si>
  <si>
    <t xml:space="preserve">Distance per purge cycle</t>
  </si>
  <si>
    <t xml:space="preserve">speed x purge on</t>
  </si>
  <si>
    <t xml:space="preserve">Purge stops per plank</t>
  </si>
  <si>
    <t xml:space="preserve">nos</t>
  </si>
  <si>
    <t xml:space="preserve">plank / distance per cycle</t>
  </si>
  <si>
    <t xml:space="preserve">Purge time per plank</t>
  </si>
  <si>
    <t xml:space="preserve">stops x purge off</t>
  </si>
  <si>
    <t xml:space="preserve">Pull time per plank</t>
  </si>
  <si>
    <t xml:space="preserve">plank / speed</t>
  </si>
  <si>
    <t xml:space="preserve">Total time per plank</t>
  </si>
  <si>
    <t xml:space="preserve">goes to Parameters sheet (78.73)</t>
  </si>
  <si>
    <t xml:space="preserve">Planks per shift per machine</t>
  </si>
  <si>
    <t xml:space="preserve">Metres per shift per machine</t>
  </si>
  <si>
    <t xml:space="preserve">Machine hours per metre</t>
  </si>
  <si>
    <t xml:space="preserve">h/m</t>
  </si>
  <si>
    <t xml:space="preserve">compare with Std Hours sheet (0.18-0.26)</t>
  </si>
  <si>
    <t xml:space="preserve">Published line speeds are much higher (1.7 m/min in one study). Thick structural profiles run slower, but this still needs checking with a stopwatch on the line.</t>
  </si>
  <si>
    <t xml:space="preserve">Line</t>
  </si>
  <si>
    <t xml:space="preserve">Max / month</t>
  </si>
  <si>
    <t xml:space="preserve">Vessel days per mould per vessel</t>
  </si>
  <si>
    <t xml:space="preserve">from the tracker - see notebook section 5</t>
  </si>
  <si>
    <t xml:space="preserve">Pressure Vessel</t>
  </si>
  <si>
    <t xml:space="preserve">Nos</t>
  </si>
  <si>
    <t xml:space="preserve">moulds x working days / days per vessel</t>
  </si>
  <si>
    <t xml:space="preserve">Grating</t>
  </si>
  <si>
    <t xml:space="preserve">moulds x hours a day x days / hours per panel x m2 per panel</t>
  </si>
  <si>
    <t xml:space="preserve">Pultrusion</t>
  </si>
  <si>
    <t xml:space="preserve">machines x hours a day x days x 60 / minutes per plank x plank length</t>
  </si>
  <si>
    <t xml:space="preserve">These are what the moulds and machines can physically make. People are a separate limit - worked out in the notebook from the Manpower sheet.</t>
  </si>
  <si>
    <t xml:space="preserve">Gap</t>
  </si>
  <si>
    <t xml:space="preserve">What it does to the result</t>
  </si>
  <si>
    <t xml:space="preserve">What would close it</t>
  </si>
  <si>
    <t xml:space="preserve">Shifts per day not confirmed (assumed 1)</t>
  </si>
  <si>
    <t xml:space="preserve">The people limit scales with it - two shifts would roughly double it</t>
  </si>
  <si>
    <t xml:space="preserve">Confirm with production</t>
  </si>
  <si>
    <t xml:space="preserve">Std Hours sheet never time-studied</t>
  </si>
  <si>
    <t xml:space="preserve">Vessels and pultrusion are 1.8x and 2.2x below the machine log; pultrusion's answer flips</t>
  </si>
  <si>
    <t xml:space="preserve">Time study on the floor, or update from the machine log</t>
  </si>
  <si>
    <t xml:space="preserve">Pultrusion line speed far below published speeds</t>
  </si>
  <si>
    <t xml:space="preserve">Machine limit for pultrusion could be understated</t>
  </si>
  <si>
    <t xml:space="preserve">Stopwatch on the line</t>
  </si>
  <si>
    <t xml:space="preserve">No public figure for grating crew per mould</t>
  </si>
  <si>
    <t xml:space="preserve">Grating labour rests on my assumption of 2</t>
  </si>
  <si>
    <t xml:space="preserve">Check on the floor</t>
  </si>
  <si>
    <t xml:space="preserve">Overtime cap under the new labour code</t>
  </si>
  <si>
    <t xml:space="preserve">Overtime scenario may be off</t>
  </si>
  <si>
    <t xml:space="preserve">Read the OSH Code rules</t>
  </si>
  <si>
    <t xml:space="preserve">Pultruded grating not in the tracker</t>
  </si>
  <si>
    <t xml:space="preserve">Pultrusion load a bit understated</t>
  </si>
  <si>
    <t xml:space="preserve">Add its register to the tracker</t>
  </si>
  <si>
    <t xml:space="preserve">Figure</t>
  </si>
  <si>
    <t xml:space="preserve">Source</t>
  </si>
  <si>
    <t xml:space="preserve">Link</t>
  </si>
  <si>
    <t xml:space="preserve">What it says</t>
  </si>
  <si>
    <t xml:space="preserve">8 h day / 48 h week, overtime cap</t>
  </si>
  <si>
    <t xml:space="preserve">Factories Act 1948 s.51, s.54, s.64 (summary by Bhatt &amp; Joshi Associates)</t>
  </si>
  <si>
    <t xml:space="preserve">https://bhattandjoshiassociates.com/working-hours-overtime-and-rest-intervals-regulation-standardized-norms-in-indian-labour-law/</t>
  </si>
  <si>
    <t xml:space="preserve">48 h a week, 9 h a day max; overtime 50 h per quarter (some states 75)</t>
  </si>
  <si>
    <t xml:space="preserve">300 working days a year</t>
  </si>
  <si>
    <t xml:space="preserve">DC-MSME, PMRY project profile - Fibre Reinforced Plastics</t>
  </si>
  <si>
    <t xml:space="preserve">https://www.dcmsme.gov.in/publications/pmryprof/chem/ch12.pdf</t>
  </si>
  <si>
    <t xml:space="preserve">The unit will work for 8 hours per day and 300 working days in a year</t>
  </si>
  <si>
    <t xml:space="preserve">Allowance for personal time, fatigue, delay</t>
  </si>
  <si>
    <t xml:space="preserve">US Dept of Labor, Wage and Hour Division, Fact Sheet 39D</t>
  </si>
  <si>
    <t xml:space="preserve">https://www.dol.gov/agencies/whd/fact-sheets/39d-14c-piece-rate</t>
  </si>
  <si>
    <t xml:space="preserve">not less than 15% allowances (9-10 minutes per hour)</t>
  </si>
  <si>
    <t xml:space="preserve">Absence in Indian manufacturing</t>
  </si>
  <si>
    <t xml:space="preserve">Adhvaryu, Gauthier, Nyshadham &amp; Tamayo (2024), via VoxDev</t>
  </si>
  <si>
    <t xml:space="preserve">https://voxdev.org/node/298481</t>
  </si>
  <si>
    <t xml:space="preserve">an average of 11% of workers are absent on any given day</t>
  </si>
  <si>
    <t xml:space="preserve">Grating mould cycle</t>
  </si>
  <si>
    <t xml:space="preserve">Jiubo Composites - moulded grating machine listing</t>
  </si>
  <si>
    <t xml:space="preserve">about 2 hours per piece incl. curing (their own table is not consistent)</t>
  </si>
  <si>
    <t xml:space="preserve">Pultrusion line speed (for comparison)</t>
  </si>
  <si>
    <t xml:space="preserve">Composites Part C (2025)</t>
  </si>
  <si>
    <t xml:space="preserve">https://research.usq.edu.au/download/b90314e8df0aa6598fd0cf2cde5fe863ff156c1f40d87336817a9fb836b818c6/10447095/1-s2.0-S2666682025000209-main.pdf</t>
  </si>
  <si>
    <t xml:space="preserve">pull speed set at 1.7 m/min (GFRP bars)</t>
  </si>
  <si>
    <t xml:space="preserve">How this project was made</t>
  </si>
  <si>
    <t xml:space="preserve">Short version</t>
  </si>
  <si>
    <t xml:space="preserve">I set the scope, supplied the plant data and the business knowledge, decided what had to be masked and what could be published, and reviewed the results. An AI assistant (Claude) wrote the code and the workbook formulas, rebuilt the tracker rows from the masked figures, found and quoted the public sources, and drafted the written parts. Several of its outputs had errors that were found and sent back.</t>
  </si>
  <si>
    <t xml:space="preserve">Done by the AI assistant</t>
  </si>
  <si>
    <t xml:space="preserve">Wrote the notebook code and the SQL query. Rebuilt the production tracker rows from the masked figures with a script. Built this workbook and its formulas. Found the public sources and quoted them. Drafted the README and the notes. Re-ran the checks and recomputed the numbers separately to confirm them.</t>
  </si>
  <si>
    <t xml:space="preserve">Done by me</t>
  </si>
  <si>
    <t xml:space="preserve">Supplied the plant's records and the domain knowledge - the products, how the process runs, what the tracker columns mean and which numbers are plausible. Set the scope: what to forecast and which questions to answer. Decided what had to be masked and what could be published. Reviewed the outputs and sent back the ones that were wrong or didn't look like my work.</t>
  </si>
  <si>
    <t xml:space="preserve">Errors caught along the way</t>
  </si>
  <si>
    <t xml:space="preserve">Plant figures labelled 'indicative' were still the real ones - changed. Pultruded grating was shown as made on the grating moulds - taken out. Operators were logged on two machines in the same shift - fixed. Two notes on the Std Hours sheet contradicted the data - corrected. Written results that did not match the code's output - re-run and corrected.</t>
  </si>
  <si>
    <t xml:space="preserve">What I am not claiming</t>
  </si>
  <si>
    <t xml:space="preserve">I am not claiming I hand-wrote the code or the formulas. I am claiming the judgement: what to build, what the data means, which answers make sense, what can be published, and when an output is wrong.</t>
  </si>
</sst>
</file>

<file path=xl/styles.xml><?xml version="1.0" encoding="utf-8"?>
<styleSheet xmlns="http://schemas.openxmlformats.org/spreadsheetml/2006/main">
  <numFmts count="3">
    <numFmt numFmtId="164" formatCode="General"/>
    <numFmt numFmtId="165" formatCode="0.00"/>
    <numFmt numFmtId="166" formatCode="0.0"/>
  </numFmts>
  <fonts count="7">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name val="Cambria"/>
      <family val="0"/>
      <charset val="1"/>
    </font>
    <font>
      <i val="true"/>
      <sz val="11"/>
      <name val="Cambria"/>
      <family val="0"/>
      <charset val="1"/>
    </font>
  </fonts>
  <fills count="4">
    <fill>
      <patternFill patternType="none"/>
    </fill>
    <fill>
      <patternFill patternType="gray125"/>
    </fill>
    <fill>
      <patternFill patternType="solid">
        <fgColor rgb="FFD9E1F2"/>
        <bgColor rgb="FFCCFFFF"/>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5"/>
  </cols>
  <sheetData>
    <row r="1" customFormat="false" ht="16.15" hidden="false" customHeight="false" outlineLevel="0" collapsed="false">
      <c r="A1" s="1" t="s">
        <v>0</v>
      </c>
    </row>
    <row r="3" customFormat="false" ht="15" hidden="false" customHeight="false" outlineLevel="0" collapsed="false">
      <c r="A3" s="2" t="s">
        <v>1</v>
      </c>
      <c r="B3" s="3" t="s">
        <v>2</v>
      </c>
    </row>
    <row r="4" customFormat="false" ht="41.75" hidden="false" customHeight="false" outlineLevel="0" collapsed="false">
      <c r="A4" s="2" t="s">
        <v>3</v>
      </c>
      <c r="B4" s="3" t="s">
        <v>4</v>
      </c>
    </row>
    <row r="5" customFormat="false" ht="15" hidden="false" customHeight="false" outlineLevel="0" collapsed="false">
      <c r="A5" s="2"/>
      <c r="B5" s="3"/>
    </row>
    <row r="6" customFormat="false" ht="15" hidden="false" customHeight="false" outlineLevel="0" collapsed="false">
      <c r="A6" s="2" t="s">
        <v>5</v>
      </c>
      <c r="B6" s="3" t="s">
        <v>6</v>
      </c>
    </row>
    <row r="7" customFormat="false" ht="15" hidden="false" customHeight="false" outlineLevel="0" collapsed="false">
      <c r="A7" s="2"/>
      <c r="B7" s="3" t="s">
        <v>7</v>
      </c>
    </row>
    <row r="8" customFormat="false" ht="15" hidden="false" customHeight="false" outlineLevel="0" collapsed="false">
      <c r="A8" s="2"/>
      <c r="B8" s="3" t="s">
        <v>8</v>
      </c>
    </row>
    <row r="9" customFormat="false" ht="15" hidden="false" customHeight="false" outlineLevel="0" collapsed="false">
      <c r="A9" s="2"/>
      <c r="B9" s="3" t="s">
        <v>9</v>
      </c>
    </row>
    <row r="10" customFormat="false" ht="15" hidden="false" customHeight="false" outlineLevel="0" collapsed="false">
      <c r="A10" s="2"/>
      <c r="B10" s="3"/>
    </row>
    <row r="11" customFormat="false" ht="15" hidden="false" customHeight="false" outlineLevel="0" collapsed="false">
      <c r="A11" s="2" t="s">
        <v>10</v>
      </c>
      <c r="B11" s="3" t="s">
        <v>11</v>
      </c>
    </row>
    <row r="12" customFormat="false" ht="15" hidden="false" customHeight="false" outlineLevel="0" collapsed="false">
      <c r="A12" s="2"/>
      <c r="B12" s="3" t="s">
        <v>12</v>
      </c>
    </row>
    <row r="13" customFormat="false" ht="15" hidden="false" customHeight="false" outlineLevel="0" collapsed="false">
      <c r="A13" s="2"/>
      <c r="B13" s="3" t="s">
        <v>13</v>
      </c>
    </row>
    <row r="14" customFormat="false" ht="15" hidden="false" customHeight="false" outlineLevel="0" collapsed="false">
      <c r="A14" s="2"/>
      <c r="B14" s="3" t="s">
        <v>14</v>
      </c>
    </row>
    <row r="15" customFormat="false" ht="15" hidden="false" customHeight="false" outlineLevel="0" collapsed="false">
      <c r="A15" s="2"/>
      <c r="B15" s="3" t="s">
        <v>15</v>
      </c>
    </row>
    <row r="16" customFormat="false" ht="15" hidden="false" customHeight="false" outlineLevel="0" collapsed="false">
      <c r="A16" s="2"/>
      <c r="B16" s="3" t="s">
        <v>16</v>
      </c>
    </row>
    <row r="17" customFormat="false" ht="15" hidden="false" customHeight="false" outlineLevel="0" collapsed="false">
      <c r="A17" s="2"/>
      <c r="B17" s="3"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45"/>
  </cols>
  <sheetData>
    <row r="1" customFormat="false" ht="15" hidden="false" customHeight="false" outlineLevel="0" collapsed="false">
      <c r="A1" s="4" t="s">
        <v>18</v>
      </c>
      <c r="B1" s="4" t="s">
        <v>19</v>
      </c>
      <c r="C1" s="4" t="s">
        <v>20</v>
      </c>
      <c r="D1" s="4" t="s">
        <v>21</v>
      </c>
    </row>
    <row r="2" customFormat="false" ht="41.75" hidden="false" customHeight="false" outlineLevel="0" collapsed="false">
      <c r="A2" s="3" t="s">
        <v>22</v>
      </c>
      <c r="B2" s="3" t="s">
        <v>23</v>
      </c>
      <c r="C2" s="3" t="s">
        <v>24</v>
      </c>
      <c r="D2" s="3" t="s">
        <v>25</v>
      </c>
    </row>
    <row r="3" customFormat="false" ht="28.35" hidden="false" customHeight="false" outlineLevel="0" collapsed="false">
      <c r="A3" s="3" t="s">
        <v>26</v>
      </c>
      <c r="B3" s="3" t="s">
        <v>27</v>
      </c>
      <c r="C3" s="3" t="s">
        <v>28</v>
      </c>
      <c r="D3" s="3" t="s">
        <v>29</v>
      </c>
    </row>
    <row r="4" customFormat="false" ht="28.35" hidden="false" customHeight="false" outlineLevel="0" collapsed="false">
      <c r="A4" s="3" t="s">
        <v>30</v>
      </c>
      <c r="B4" s="3" t="s">
        <v>31</v>
      </c>
      <c r="C4" s="3" t="s">
        <v>32</v>
      </c>
      <c r="D4" s="3"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16"/>
    <col collapsed="false" customWidth="true" hidden="false" outlineLevel="0" max="4" min="4" style="0" width="20"/>
    <col collapsed="false" customWidth="true" hidden="false" outlineLevel="0" max="5" min="5" style="0" width="70"/>
    <col collapsed="false" customWidth="true" hidden="false" outlineLevel="0" max="6" min="6" style="0" width="30"/>
  </cols>
  <sheetData>
    <row r="1" customFormat="false" ht="15" hidden="false" customHeight="false" outlineLevel="0" collapsed="false">
      <c r="A1" s="4" t="s">
        <v>34</v>
      </c>
      <c r="B1" s="4" t="s">
        <v>35</v>
      </c>
      <c r="C1" s="4" t="s">
        <v>36</v>
      </c>
      <c r="D1" s="4" t="s">
        <v>37</v>
      </c>
      <c r="E1" s="4" t="s">
        <v>38</v>
      </c>
    </row>
    <row r="2" customFormat="false" ht="15" hidden="false" customHeight="false" outlineLevel="0" collapsed="false">
      <c r="A2" s="0" t="s">
        <v>39</v>
      </c>
      <c r="B2" s="0" t="n">
        <v>8</v>
      </c>
      <c r="C2" s="0" t="s">
        <v>40</v>
      </c>
      <c r="D2" s="0" t="s">
        <v>41</v>
      </c>
      <c r="E2" s="0" t="s">
        <v>42</v>
      </c>
    </row>
    <row r="3" customFormat="false" ht="15" hidden="false" customHeight="false" outlineLevel="0" collapsed="false">
      <c r="A3" s="0" t="s">
        <v>43</v>
      </c>
      <c r="B3" s="0" t="n">
        <v>1</v>
      </c>
      <c r="C3" s="0" t="s">
        <v>44</v>
      </c>
      <c r="D3" s="0" t="s">
        <v>45</v>
      </c>
      <c r="E3" s="0" t="s">
        <v>46</v>
      </c>
    </row>
    <row r="4" customFormat="false" ht="15" hidden="false" customHeight="false" outlineLevel="0" collapsed="false">
      <c r="A4" s="0" t="s">
        <v>47</v>
      </c>
      <c r="B4" s="0" t="n">
        <v>25</v>
      </c>
      <c r="C4" s="0" t="s">
        <v>48</v>
      </c>
      <c r="D4" s="0" t="s">
        <v>41</v>
      </c>
      <c r="E4" s="0" t="s">
        <v>49</v>
      </c>
    </row>
    <row r="5" customFormat="false" ht="15" hidden="false" customHeight="false" outlineLevel="0" collapsed="false">
      <c r="A5" s="0" t="s">
        <v>50</v>
      </c>
      <c r="B5" s="0" t="n">
        <v>0.84</v>
      </c>
      <c r="C5" s="0" t="s">
        <v>51</v>
      </c>
      <c r="D5" s="0" t="s">
        <v>41</v>
      </c>
      <c r="E5" s="0" t="s">
        <v>52</v>
      </c>
    </row>
    <row r="6" customFormat="false" ht="15" hidden="false" customHeight="false" outlineLevel="0" collapsed="false">
      <c r="A6" s="0" t="s">
        <v>53</v>
      </c>
      <c r="B6" s="0" t="n">
        <v>0.11</v>
      </c>
      <c r="C6" s="0" t="s">
        <v>51</v>
      </c>
      <c r="D6" s="0" t="s">
        <v>41</v>
      </c>
      <c r="E6" s="0" t="s">
        <v>54</v>
      </c>
    </row>
    <row r="7" customFormat="false" ht="15" hidden="false" customHeight="false" outlineLevel="0" collapsed="false">
      <c r="A7" s="0" t="s">
        <v>55</v>
      </c>
      <c r="B7" s="0" t="n">
        <v>5</v>
      </c>
      <c r="C7" s="0" t="s">
        <v>56</v>
      </c>
      <c r="D7" s="0" t="s">
        <v>45</v>
      </c>
      <c r="E7" s="0" t="s">
        <v>57</v>
      </c>
    </row>
    <row r="8" customFormat="false" ht="15" hidden="false" customHeight="false" outlineLevel="0" collapsed="false">
      <c r="A8" s="0" t="s">
        <v>58</v>
      </c>
      <c r="B8" s="0" t="n">
        <v>3</v>
      </c>
      <c r="C8" s="0" t="s">
        <v>59</v>
      </c>
      <c r="D8" s="0" t="s">
        <v>45</v>
      </c>
      <c r="E8" s="0" t="s">
        <v>60</v>
      </c>
    </row>
    <row r="9" customFormat="false" ht="15" hidden="false" customHeight="false" outlineLevel="0" collapsed="false">
      <c r="A9" s="0" t="s">
        <v>61</v>
      </c>
      <c r="B9" s="0" t="n">
        <v>4</v>
      </c>
      <c r="C9" s="0" t="s">
        <v>56</v>
      </c>
      <c r="D9" s="0" t="s">
        <v>45</v>
      </c>
      <c r="E9" s="0" t="s">
        <v>57</v>
      </c>
    </row>
    <row r="10" customFormat="false" ht="15" hidden="false" customHeight="false" outlineLevel="0" collapsed="false">
      <c r="A10" s="0" t="s">
        <v>62</v>
      </c>
      <c r="B10" s="0" t="n">
        <v>2</v>
      </c>
      <c r="C10" s="0" t="s">
        <v>63</v>
      </c>
      <c r="D10" s="0" t="s">
        <v>41</v>
      </c>
      <c r="E10" s="0" t="s">
        <v>64</v>
      </c>
    </row>
    <row r="11" customFormat="false" ht="15" hidden="false" customHeight="false" outlineLevel="0" collapsed="false">
      <c r="A11" s="0" t="s">
        <v>65</v>
      </c>
      <c r="B11" s="0" t="n">
        <v>4.465</v>
      </c>
      <c r="C11" s="0" t="s">
        <v>66</v>
      </c>
      <c r="D11" s="0" t="s">
        <v>41</v>
      </c>
      <c r="E11" s="0" t="s">
        <v>67</v>
      </c>
    </row>
    <row r="12" customFormat="false" ht="15" hidden="false" customHeight="false" outlineLevel="0" collapsed="false">
      <c r="A12" s="0" t="s">
        <v>68</v>
      </c>
      <c r="B12" s="0" t="n">
        <v>1.116</v>
      </c>
      <c r="C12" s="0" t="s">
        <v>66</v>
      </c>
      <c r="D12" s="0" t="s">
        <v>45</v>
      </c>
      <c r="E12" s="0" t="s">
        <v>69</v>
      </c>
    </row>
    <row r="13" customFormat="false" ht="15" hidden="false" customHeight="false" outlineLevel="0" collapsed="false">
      <c r="A13" s="5" t="s">
        <v>70</v>
      </c>
      <c r="B13" s="5" t="n">
        <v>6</v>
      </c>
      <c r="C13" s="5" t="s">
        <v>71</v>
      </c>
      <c r="D13" s="5" t="s">
        <v>72</v>
      </c>
      <c r="E13" s="5" t="s">
        <v>73</v>
      </c>
    </row>
    <row r="14" customFormat="false" ht="15" hidden="false" customHeight="false" outlineLevel="0" collapsed="false">
      <c r="A14" s="0" t="s">
        <v>74</v>
      </c>
      <c r="B14" s="0" t="n">
        <v>10</v>
      </c>
      <c r="C14" s="0" t="s">
        <v>59</v>
      </c>
      <c r="D14" s="0" t="s">
        <v>45</v>
      </c>
      <c r="E14" s="0" t="s">
        <v>75</v>
      </c>
    </row>
    <row r="15" customFormat="false" ht="15" hidden="false" customHeight="false" outlineLevel="0" collapsed="false">
      <c r="A15" s="0" t="s">
        <v>76</v>
      </c>
      <c r="B15" s="0" t="n">
        <v>78.73</v>
      </c>
      <c r="C15" s="0" t="s">
        <v>77</v>
      </c>
      <c r="D15" s="0" t="s">
        <v>78</v>
      </c>
      <c r="E15" s="0" t="s">
        <v>79</v>
      </c>
    </row>
    <row r="16" customFormat="false" ht="15" hidden="false" customHeight="false" outlineLevel="0" collapsed="false">
      <c r="A16" s="5" t="s">
        <v>80</v>
      </c>
      <c r="B16" s="5" t="n">
        <v>2.4</v>
      </c>
      <c r="C16" s="5" t="s">
        <v>81</v>
      </c>
      <c r="D16" s="5" t="s">
        <v>72</v>
      </c>
      <c r="E16" s="5" t="s">
        <v>82</v>
      </c>
    </row>
    <row r="17" customFormat="false" ht="15" hidden="false" customHeight="false" outlineLevel="0" collapsed="false">
      <c r="A17" s="0" t="s">
        <v>83</v>
      </c>
      <c r="B17" s="0" t="n">
        <v>50</v>
      </c>
      <c r="C17" s="0" t="s">
        <v>40</v>
      </c>
      <c r="D17" s="0" t="s">
        <v>41</v>
      </c>
      <c r="E17" s="0" t="s">
        <v>84</v>
      </c>
    </row>
    <row r="19" customFormat="false" ht="15" hidden="false" customHeight="false" outlineLevel="0" collapsed="false">
      <c r="A19" s="0"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0"/>
    <col collapsed="false" customWidth="true" hidden="false" outlineLevel="0" max="4" min="4" style="0" width="55"/>
  </cols>
  <sheetData>
    <row r="1" customFormat="false" ht="15" hidden="false" customHeight="false" outlineLevel="0" collapsed="false">
      <c r="A1" s="4" t="s">
        <v>86</v>
      </c>
      <c r="B1" s="4" t="s">
        <v>35</v>
      </c>
      <c r="C1" s="4" t="s">
        <v>36</v>
      </c>
      <c r="D1" s="4" t="s">
        <v>87</v>
      </c>
    </row>
    <row r="2" customFormat="false" ht="15" hidden="false" customHeight="false" outlineLevel="0" collapsed="false">
      <c r="A2" s="5" t="s">
        <v>88</v>
      </c>
      <c r="B2" s="5" t="n">
        <v>33</v>
      </c>
      <c r="C2" s="5" t="s">
        <v>89</v>
      </c>
      <c r="D2" s="5" t="s">
        <v>90</v>
      </c>
    </row>
    <row r="3" customFormat="false" ht="15" hidden="false" customHeight="false" outlineLevel="0" collapsed="false">
      <c r="A3" s="5" t="s">
        <v>91</v>
      </c>
      <c r="B3" s="5" t="n">
        <v>2400</v>
      </c>
      <c r="C3" s="5" t="s">
        <v>92</v>
      </c>
      <c r="D3" s="5" t="s">
        <v>93</v>
      </c>
    </row>
    <row r="4" customFormat="false" ht="15" hidden="false" customHeight="false" outlineLevel="0" collapsed="false">
      <c r="A4" s="5" t="s">
        <v>94</v>
      </c>
      <c r="B4" s="5" t="n">
        <v>4</v>
      </c>
      <c r="C4" s="5" t="s">
        <v>95</v>
      </c>
      <c r="D4" s="5" t="s">
        <v>96</v>
      </c>
    </row>
    <row r="5" customFormat="false" ht="15" hidden="false" customHeight="false" outlineLevel="0" collapsed="false">
      <c r="A5" s="5" t="s">
        <v>97</v>
      </c>
      <c r="B5" s="5" t="n">
        <v>20</v>
      </c>
      <c r="C5" s="5" t="s">
        <v>98</v>
      </c>
      <c r="D5" s="5" t="s">
        <v>99</v>
      </c>
    </row>
    <row r="6" customFormat="false" ht="15" hidden="false" customHeight="false" outlineLevel="0" collapsed="false">
      <c r="A6" s="0" t="s">
        <v>100</v>
      </c>
      <c r="B6" s="0" t="n">
        <v>8</v>
      </c>
      <c r="C6" s="0" t="s">
        <v>101</v>
      </c>
    </row>
    <row r="8" customFormat="false" ht="15" hidden="false" customHeight="false" outlineLevel="0" collapsed="false">
      <c r="A8" s="4" t="s">
        <v>102</v>
      </c>
      <c r="B8" s="4" t="s">
        <v>103</v>
      </c>
      <c r="C8" s="4" t="s">
        <v>36</v>
      </c>
      <c r="D8" s="4" t="s">
        <v>104</v>
      </c>
    </row>
    <row r="9" customFormat="false" ht="15" hidden="false" customHeight="false" outlineLevel="0" collapsed="false">
      <c r="A9" s="0" t="s">
        <v>105</v>
      </c>
      <c r="B9" s="6" t="n">
        <f aca="false">B2*B4</f>
        <v>132</v>
      </c>
      <c r="C9" s="7" t="s">
        <v>92</v>
      </c>
      <c r="D9" s="7" t="s">
        <v>106</v>
      </c>
    </row>
    <row r="10" customFormat="false" ht="15" hidden="false" customHeight="false" outlineLevel="0" collapsed="false">
      <c r="A10" s="0" t="s">
        <v>107</v>
      </c>
      <c r="B10" s="6" t="n">
        <f aca="false">INT(B3/B9)</f>
        <v>18</v>
      </c>
      <c r="C10" s="7" t="s">
        <v>108</v>
      </c>
      <c r="D10" s="7" t="s">
        <v>109</v>
      </c>
    </row>
    <row r="11" customFormat="false" ht="15" hidden="false" customHeight="false" outlineLevel="0" collapsed="false">
      <c r="A11" s="0" t="s">
        <v>110</v>
      </c>
      <c r="B11" s="6" t="n">
        <f aca="false">B10*B5/60</f>
        <v>6</v>
      </c>
      <c r="C11" s="7" t="s">
        <v>95</v>
      </c>
      <c r="D11" s="7" t="s">
        <v>111</v>
      </c>
    </row>
    <row r="12" customFormat="false" ht="15" hidden="false" customHeight="false" outlineLevel="0" collapsed="false">
      <c r="A12" s="0" t="s">
        <v>112</v>
      </c>
      <c r="B12" s="6" t="n">
        <f aca="false">B3/B2</f>
        <v>72.7272727272727</v>
      </c>
      <c r="C12" s="7" t="s">
        <v>95</v>
      </c>
      <c r="D12" s="7" t="s">
        <v>113</v>
      </c>
    </row>
    <row r="13" customFormat="false" ht="15" hidden="false" customHeight="false" outlineLevel="0" collapsed="false">
      <c r="A13" s="0" t="s">
        <v>114</v>
      </c>
      <c r="B13" s="6" t="n">
        <f aca="false">B11+B12</f>
        <v>78.7272727272727</v>
      </c>
      <c r="C13" s="7" t="s">
        <v>95</v>
      </c>
      <c r="D13" s="7" t="s">
        <v>115</v>
      </c>
    </row>
    <row r="14" customFormat="false" ht="15" hidden="false" customHeight="false" outlineLevel="0" collapsed="false">
      <c r="A14" s="0" t="s">
        <v>116</v>
      </c>
      <c r="B14" s="6" t="n">
        <f aca="false">B6*60/B13</f>
        <v>6.09699769053118</v>
      </c>
      <c r="C14" s="7" t="s">
        <v>108</v>
      </c>
    </row>
    <row r="15" customFormat="false" ht="15" hidden="false" customHeight="false" outlineLevel="0" collapsed="false">
      <c r="A15" s="0" t="s">
        <v>117</v>
      </c>
      <c r="B15" s="6" t="n">
        <f aca="false">B14*B3/1000</f>
        <v>14.6327944572748</v>
      </c>
      <c r="C15" s="7" t="s">
        <v>81</v>
      </c>
    </row>
    <row r="16" customFormat="false" ht="15" hidden="false" customHeight="false" outlineLevel="0" collapsed="false">
      <c r="A16" s="0" t="s">
        <v>118</v>
      </c>
      <c r="B16" s="6" t="n">
        <f aca="false">B13/60/(B3/1000)</f>
        <v>0.546717171717172</v>
      </c>
      <c r="C16" s="7" t="s">
        <v>119</v>
      </c>
      <c r="D16" s="7" t="s">
        <v>120</v>
      </c>
    </row>
    <row r="18" customFormat="false" ht="15" hidden="false" customHeight="false" outlineLevel="0" collapsed="false">
      <c r="A18" s="2" t="s">
        <v>87</v>
      </c>
      <c r="B18" s="7"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2"/>
    <col collapsed="false" customWidth="true" hidden="false" outlineLevel="0" max="4" min="4" style="0" width="60"/>
  </cols>
  <sheetData>
    <row r="1" customFormat="false" ht="15" hidden="false" customHeight="false" outlineLevel="0" collapsed="false">
      <c r="A1" s="4" t="s">
        <v>122</v>
      </c>
      <c r="B1" s="4" t="s">
        <v>123</v>
      </c>
      <c r="C1" s="4" t="s">
        <v>36</v>
      </c>
      <c r="D1" s="4" t="s">
        <v>104</v>
      </c>
    </row>
    <row r="2" customFormat="false" ht="15" hidden="false" customHeight="false" outlineLevel="0" collapsed="false">
      <c r="A2" s="8" t="s">
        <v>124</v>
      </c>
      <c r="B2" s="9" t="n">
        <v>6.63</v>
      </c>
      <c r="C2" s="7" t="s">
        <v>48</v>
      </c>
      <c r="D2" s="7" t="s">
        <v>125</v>
      </c>
    </row>
    <row r="3" customFormat="false" ht="15" hidden="false" customHeight="false" outlineLevel="0" collapsed="false">
      <c r="A3" s="0" t="s">
        <v>126</v>
      </c>
      <c r="B3" s="9" t="n">
        <f aca="false">Parameters!B7*Parameters!B4/B2</f>
        <v>18.8536953242836</v>
      </c>
      <c r="C3" s="7" t="s">
        <v>127</v>
      </c>
      <c r="D3" s="7" t="s">
        <v>128</v>
      </c>
    </row>
    <row r="4" customFormat="false" ht="15" hidden="false" customHeight="false" outlineLevel="0" collapsed="false">
      <c r="A4" s="0" t="s">
        <v>129</v>
      </c>
      <c r="B4" s="9" t="n">
        <f aca="false">Parameters!B9*Parameters!B2*Parameters!B3*Parameters!B4/Parameters!B10*Parameters!B11</f>
        <v>1786</v>
      </c>
      <c r="C4" s="7" t="s">
        <v>66</v>
      </c>
      <c r="D4" s="7" t="s">
        <v>130</v>
      </c>
    </row>
    <row r="5" customFormat="false" ht="15" hidden="false" customHeight="false" outlineLevel="0" collapsed="false">
      <c r="A5" s="0" t="s">
        <v>131</v>
      </c>
      <c r="B5" s="9" t="n">
        <f aca="false">Parameters!B13*Parameters!B2*Parameters!B3*Parameters!B4*60/Parameters!B15*Parameters!B16</f>
        <v>2194.84313476438</v>
      </c>
      <c r="C5" s="7" t="s">
        <v>81</v>
      </c>
      <c r="D5" s="7" t="s">
        <v>132</v>
      </c>
    </row>
    <row r="7" customFormat="false" ht="15" hidden="false" customHeight="false" outlineLevel="0" collapsed="false">
      <c r="A7" s="2" t="s">
        <v>87</v>
      </c>
      <c r="D7" s="7"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55"/>
    <col collapsed="false" customWidth="true" hidden="false" outlineLevel="0" max="3" min="3" style="0" width="45"/>
  </cols>
  <sheetData>
    <row r="1" customFormat="false" ht="15" hidden="false" customHeight="false" outlineLevel="0" collapsed="false">
      <c r="A1" s="4" t="s">
        <v>134</v>
      </c>
      <c r="B1" s="4" t="s">
        <v>135</v>
      </c>
      <c r="C1" s="4" t="s">
        <v>136</v>
      </c>
    </row>
    <row r="2" customFormat="false" ht="28.35" hidden="false" customHeight="false" outlineLevel="0" collapsed="false">
      <c r="A2" s="3" t="s">
        <v>137</v>
      </c>
      <c r="B2" s="3" t="s">
        <v>138</v>
      </c>
      <c r="C2" s="3" t="s">
        <v>139</v>
      </c>
    </row>
    <row r="3" customFormat="false" ht="28.35" hidden="false" customHeight="false" outlineLevel="0" collapsed="false">
      <c r="A3" s="3" t="s">
        <v>140</v>
      </c>
      <c r="B3" s="3" t="s">
        <v>141</v>
      </c>
      <c r="C3" s="3" t="s">
        <v>142</v>
      </c>
    </row>
    <row r="4" customFormat="false" ht="28.35" hidden="false" customHeight="false" outlineLevel="0" collapsed="false">
      <c r="A4" s="3" t="s">
        <v>143</v>
      </c>
      <c r="B4" s="3" t="s">
        <v>144</v>
      </c>
      <c r="C4" s="3" t="s">
        <v>145</v>
      </c>
    </row>
    <row r="5" customFormat="false" ht="15" hidden="false" customHeight="false" outlineLevel="0" collapsed="false">
      <c r="A5" s="3" t="s">
        <v>146</v>
      </c>
      <c r="B5" s="3" t="s">
        <v>147</v>
      </c>
      <c r="C5" s="3" t="s">
        <v>148</v>
      </c>
    </row>
    <row r="6" customFormat="false" ht="15" hidden="false" customHeight="false" outlineLevel="0" collapsed="false">
      <c r="A6" s="3" t="s">
        <v>149</v>
      </c>
      <c r="B6" s="3" t="s">
        <v>150</v>
      </c>
      <c r="C6" s="3" t="s">
        <v>151</v>
      </c>
    </row>
    <row r="7" customFormat="false" ht="15" hidden="false" customHeight="false" outlineLevel="0" collapsed="false">
      <c r="A7" s="3" t="s">
        <v>152</v>
      </c>
      <c r="B7" s="3" t="s">
        <v>153</v>
      </c>
      <c r="C7" s="3"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70"/>
    <col collapsed="false" customWidth="true" hidden="false" outlineLevel="0" max="4" min="4" style="0" width="40"/>
  </cols>
  <sheetData>
    <row r="1" customFormat="false" ht="15" hidden="false" customHeight="false" outlineLevel="0" collapsed="false">
      <c r="A1" s="4" t="s">
        <v>155</v>
      </c>
      <c r="B1" s="4" t="s">
        <v>156</v>
      </c>
      <c r="C1" s="4" t="s">
        <v>157</v>
      </c>
      <c r="D1" s="4" t="s">
        <v>158</v>
      </c>
    </row>
    <row r="2" customFormat="false" ht="28.35" hidden="false" customHeight="false" outlineLevel="0" collapsed="false">
      <c r="A2" s="3" t="s">
        <v>159</v>
      </c>
      <c r="B2" s="3" t="s">
        <v>160</v>
      </c>
      <c r="C2" s="3" t="s">
        <v>161</v>
      </c>
      <c r="D2" s="3" t="s">
        <v>162</v>
      </c>
    </row>
    <row r="3" customFormat="false" ht="28.35" hidden="false" customHeight="false" outlineLevel="0" collapsed="false">
      <c r="A3" s="3" t="s">
        <v>163</v>
      </c>
      <c r="B3" s="3" t="s">
        <v>164</v>
      </c>
      <c r="C3" s="3" t="s">
        <v>165</v>
      </c>
      <c r="D3" s="3" t="s">
        <v>166</v>
      </c>
    </row>
    <row r="4" customFormat="false" ht="28.35" hidden="false" customHeight="false" outlineLevel="0" collapsed="false">
      <c r="A4" s="3" t="s">
        <v>167</v>
      </c>
      <c r="B4" s="3" t="s">
        <v>168</v>
      </c>
      <c r="C4" s="3" t="s">
        <v>169</v>
      </c>
      <c r="D4" s="3" t="s">
        <v>170</v>
      </c>
    </row>
    <row r="5" customFormat="false" ht="28.35" hidden="false" customHeight="false" outlineLevel="0" collapsed="false">
      <c r="A5" s="3" t="s">
        <v>171</v>
      </c>
      <c r="B5" s="3" t="s">
        <v>172</v>
      </c>
      <c r="C5" s="3" t="s">
        <v>173</v>
      </c>
      <c r="D5" s="3" t="s">
        <v>174</v>
      </c>
    </row>
    <row r="6" customFormat="false" ht="28.35" hidden="false" customHeight="false" outlineLevel="0" collapsed="false">
      <c r="A6" s="3" t="s">
        <v>175</v>
      </c>
      <c r="B6" s="3" t="s">
        <v>176</v>
      </c>
      <c r="C6" s="3"/>
      <c r="D6" s="3" t="s">
        <v>177</v>
      </c>
    </row>
    <row r="7" customFormat="false" ht="41.75" hidden="false" customHeight="false" outlineLevel="0" collapsed="false">
      <c r="A7" s="3" t="s">
        <v>178</v>
      </c>
      <c r="B7" s="3" t="s">
        <v>179</v>
      </c>
      <c r="C7" s="3" t="s">
        <v>180</v>
      </c>
      <c r="D7" s="3" t="s">
        <v>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6.15" hidden="false" customHeight="false" outlineLevel="0" collapsed="false">
      <c r="A1" s="1" t="s">
        <v>182</v>
      </c>
    </row>
    <row r="3" customFormat="false" ht="55.2" hidden="false" customHeight="false" outlineLevel="0" collapsed="false">
      <c r="A3" s="2" t="s">
        <v>183</v>
      </c>
      <c r="B3" s="3" t="s">
        <v>184</v>
      </c>
    </row>
    <row r="4" customFormat="false" ht="15" hidden="false" customHeight="false" outlineLevel="0" collapsed="false">
      <c r="A4" s="2"/>
      <c r="B4" s="3"/>
    </row>
    <row r="5" customFormat="false" ht="41.75" hidden="false" customHeight="false" outlineLevel="0" collapsed="false">
      <c r="A5" s="2" t="s">
        <v>185</v>
      </c>
      <c r="B5" s="3" t="s">
        <v>186</v>
      </c>
    </row>
    <row r="6" customFormat="false" ht="55.2" hidden="false" customHeight="false" outlineLevel="0" collapsed="false">
      <c r="A6" s="2" t="s">
        <v>187</v>
      </c>
      <c r="B6" s="3" t="s">
        <v>188</v>
      </c>
    </row>
    <row r="7" customFormat="false" ht="15" hidden="false" customHeight="false" outlineLevel="0" collapsed="false">
      <c r="A7" s="2"/>
      <c r="B7" s="3"/>
    </row>
    <row r="8" customFormat="false" ht="55.2" hidden="false" customHeight="false" outlineLevel="0" collapsed="false">
      <c r="A8" s="2" t="s">
        <v>189</v>
      </c>
      <c r="B8" s="3" t="s">
        <v>190</v>
      </c>
    </row>
    <row r="9" customFormat="false" ht="15" hidden="false" customHeight="false" outlineLevel="0" collapsed="false">
      <c r="A9" s="2"/>
      <c r="B9" s="3"/>
    </row>
    <row r="10" customFormat="false" ht="28.35" hidden="false" customHeight="false" outlineLevel="0" collapsed="false">
      <c r="A10" s="2" t="s">
        <v>191</v>
      </c>
      <c r="B10" s="3" t="s">
        <v>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2026-10-19T17:28:23Z</dcterms:created>
  <dc:creator>openpyxl</dc:creator>
  <dc:description/>
  <dc:language>en-US</dc:language>
  <cp:lastModifiedBy/>
  <dcterms:modified xsi:type="dcterms:W3CDTF">2026-10-19T17:28:23Z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